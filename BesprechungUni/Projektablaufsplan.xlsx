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FE00FS45.DE.BOSCH.COM\HRO7RNG$\BesprechungUni\"/>
    </mc:Choice>
  </mc:AlternateContent>
  <xr:revisionPtr revIDLastSave="0" documentId="13_ncr:1_{755CF91C-3A58-4EE4-BEAB-3B7BA1BA2870}" xr6:coauthVersionLast="45" xr6:coauthVersionMax="45" xr10:uidLastSave="{00000000-0000-0000-0000-000000000000}"/>
  <bookViews>
    <workbookView xWindow="-120" yWindow="-120" windowWidth="29040" windowHeight="15990" xr2:uid="{5DD5D2E1-0059-40D1-8F90-5706D6C6295B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11" i="1" l="1"/>
  <c r="G11" i="1"/>
  <c r="H11" i="1" s="1"/>
  <c r="F17" i="1"/>
  <c r="F16" i="1"/>
  <c r="F14" i="1"/>
  <c r="F13" i="1"/>
  <c r="G17" i="1"/>
  <c r="H17" i="1" s="1"/>
  <c r="G16" i="1"/>
  <c r="H16" i="1" s="1"/>
  <c r="G14" i="1"/>
  <c r="H14" i="1" s="1"/>
  <c r="G13" i="1"/>
  <c r="H13" i="1" s="1"/>
  <c r="F3" i="1" l="1"/>
  <c r="F4" i="1"/>
  <c r="F5" i="1"/>
  <c r="F6" i="1"/>
  <c r="F7" i="1"/>
  <c r="F8" i="1"/>
  <c r="F9" i="1"/>
  <c r="F10" i="1"/>
  <c r="F12" i="1"/>
  <c r="F15" i="1"/>
  <c r="F18" i="1"/>
  <c r="F19" i="1"/>
  <c r="F20" i="1"/>
  <c r="F21" i="1"/>
  <c r="F2" i="1"/>
  <c r="G5" i="1"/>
  <c r="H5" i="1" s="1"/>
  <c r="L1" i="1"/>
  <c r="G3" i="1"/>
  <c r="H3" i="1" s="1"/>
  <c r="G2" i="1"/>
  <c r="H2" i="1" s="1"/>
  <c r="G4" i="1"/>
  <c r="H4" i="1" s="1"/>
  <c r="G21" i="1"/>
  <c r="H21" i="1" s="1"/>
  <c r="G15" i="1"/>
  <c r="H15" i="1" s="1"/>
  <c r="G18" i="1"/>
  <c r="H18" i="1" s="1"/>
  <c r="G12" i="1"/>
  <c r="H12" i="1" s="1"/>
  <c r="G19" i="1"/>
  <c r="H19" i="1" s="1"/>
  <c r="G6" i="1"/>
  <c r="H6" i="1" s="1"/>
  <c r="G8" i="1"/>
  <c r="H8" i="1" s="1"/>
  <c r="G10" i="1"/>
  <c r="H10" i="1" s="1"/>
  <c r="G7" i="1"/>
  <c r="H7" i="1" s="1"/>
  <c r="G9" i="1"/>
  <c r="H9" i="1" s="1"/>
  <c r="G20" i="1"/>
  <c r="H20" i="1" s="1"/>
</calcChain>
</file>

<file path=xl/sharedStrings.xml><?xml version="1.0" encoding="utf-8"?>
<sst xmlns="http://schemas.openxmlformats.org/spreadsheetml/2006/main" count="38" uniqueCount="35">
  <si>
    <t>Gruppe</t>
  </si>
  <si>
    <t>Untergruppe</t>
  </si>
  <si>
    <t>Einführung/Vorarbeit</t>
  </si>
  <si>
    <t>Literaturrecherche</t>
  </si>
  <si>
    <t>Theoretische Grundlagen</t>
  </si>
  <si>
    <t>Thematik</t>
  </si>
  <si>
    <t>Kristallplastizität</t>
  </si>
  <si>
    <t>Fatigue indicator parameters</t>
  </si>
  <si>
    <t>Materialparameter</t>
  </si>
  <si>
    <t>Lebensdauerprognose</t>
  </si>
  <si>
    <t>Programmierung</t>
  </si>
  <si>
    <t xml:space="preserve">Schnittstellelle Geometriegenerieung </t>
  </si>
  <si>
    <t>Schnittstelle Modellgenerierung</t>
  </si>
  <si>
    <t>Schnitstelle Simulationsdurchführung</t>
  </si>
  <si>
    <t>Untersuchung</t>
  </si>
  <si>
    <t>Simulation</t>
  </si>
  <si>
    <t>Ausarbeitung</t>
  </si>
  <si>
    <t>Erstellung des Berichts</t>
  </si>
  <si>
    <t>Erstellung Diagramme</t>
  </si>
  <si>
    <t>Kapitel Grundlagen</t>
  </si>
  <si>
    <t>Kapitel Auswertung</t>
  </si>
  <si>
    <t>Kapitel Fazit</t>
  </si>
  <si>
    <t>DatumStart</t>
  </si>
  <si>
    <t>DatumEnde</t>
  </si>
  <si>
    <t>Start KW</t>
  </si>
  <si>
    <t>Ende KW</t>
  </si>
  <si>
    <t>Dauer Wochen</t>
  </si>
  <si>
    <t>Kalenderwoche heute</t>
  </si>
  <si>
    <t>Mikrostrukturgenerierung</t>
  </si>
  <si>
    <t>Doku</t>
  </si>
  <si>
    <t>Evaluierung</t>
  </si>
  <si>
    <t>Studie 2 - Ferrit gegen 0</t>
  </si>
  <si>
    <t>Studie 1 - 0 bis 25 Random</t>
  </si>
  <si>
    <t>Studie 3 - Ausrichtung</t>
  </si>
  <si>
    <t>Schnittstelle Evaluierung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</si>
</sst>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0" fillId="0" borderId="0" xfId="0" applyAlignment="1">
      <alignment horizontal="center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Tabelle1!$D$1</c:f>
              <c:strCache>
                <c:ptCount val="1"/>
                <c:pt idx="0">
                  <c:v>Start KW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multiLvlStrRef>
              <c:f>Tabelle1!$A$2:$C$21</c:f>
              <c:multiLvlStrCache>
                <c:ptCount val="20"/>
                <c:lvl>
                  <c:pt idx="0">
                    <c:v>Theoretische Grundlagen</c:v>
                  </c:pt>
                  <c:pt idx="1">
                    <c:v>Kristallplastizität</c:v>
                  </c:pt>
                  <c:pt idx="2">
                    <c:v>Fatigue indicator parameters</c:v>
                  </c:pt>
                  <c:pt idx="3">
                    <c:v>Lebensdauerprognose</c:v>
                  </c:pt>
                  <c:pt idx="4">
                    <c:v>Mikrostrukturgenerierung</c:v>
                  </c:pt>
                  <c:pt idx="5">
                    <c:v>Materialparameter</c:v>
                  </c:pt>
                  <c:pt idx="6">
                    <c:v>Schnittstellelle Geometriegenerieung </c:v>
                  </c:pt>
                  <c:pt idx="7">
                    <c:v>Schnittstelle Modellgenerierung</c:v>
                  </c:pt>
                  <c:pt idx="8">
                    <c:v>Schnitstelle Simulationsdurchführung</c:v>
                  </c:pt>
                  <c:pt idx="9">
                    <c:v>Schnittstelle Evaluierung</c:v>
                  </c:pt>
                  <c:pt idx="10">
                    <c:v>Studie 1 - 0 bis 25 Random</c:v>
                  </c:pt>
                  <c:pt idx="11">
                    <c:v>Studie 2 - Ferrit gegen 0</c:v>
                  </c:pt>
                  <c:pt idx="12">
                    <c:v>Studie 3 - Ausrichtung</c:v>
                  </c:pt>
                  <c:pt idx="13">
                    <c:v>Studie 1 - 0 bis 25 Random</c:v>
                  </c:pt>
                  <c:pt idx="14">
                    <c:v>Studie 2 - Ferrit gegen 0</c:v>
                  </c:pt>
                  <c:pt idx="15">
                    <c:v>Studie 3 - Ausrichtung</c:v>
                  </c:pt>
                  <c:pt idx="16">
                    <c:v>Erstellung Diagramme</c:v>
                  </c:pt>
                  <c:pt idx="17">
                    <c:v>Kapitel Grundlagen</c:v>
                  </c:pt>
                  <c:pt idx="18">
                    <c:v>Kapitel Auswertung</c:v>
                  </c:pt>
                  <c:pt idx="19">
                    <c:v>Kapitel Fazit</c:v>
                  </c:pt>
                </c:lvl>
                <c:lvl>
                  <c:pt idx="0">
                    <c:v>Literaturrecherche</c:v>
                  </c:pt>
                  <c:pt idx="6">
                    <c:v>Programmierung</c:v>
                  </c:pt>
                  <c:pt idx="10">
                    <c:v>Simulation</c:v>
                  </c:pt>
                  <c:pt idx="13">
                    <c:v>Evaluierung</c:v>
                  </c:pt>
                  <c:pt idx="16">
                    <c:v>Doku</c:v>
                  </c:pt>
                  <c:pt idx="17">
                    <c:v>Erstellung des Berichts</c:v>
                  </c:pt>
                </c:lvl>
                <c:lvl>
                  <c:pt idx="0">
                    <c:v>Einführung/Vorarbeit</c:v>
                  </c:pt>
                  <c:pt idx="10">
                    <c:v>Untersuchung</c:v>
                  </c:pt>
                  <c:pt idx="16">
                    <c:v>Ausarbeitung</c:v>
                  </c:pt>
                </c:lvl>
              </c:multiLvlStrCache>
            </c:multiLvlStrRef>
          </c:cat>
          <c:val>
            <c:numRef>
              <c:f>Tabelle1!$D$2:$D$21</c:f>
              <c:numCache>
                <c:formatCode>General</c:formatCode>
                <c:ptCount val="20"/>
                <c:pt idx="0">
                  <c:v>31</c:v>
                </c:pt>
                <c:pt idx="1">
                  <c:v>32</c:v>
                </c:pt>
                <c:pt idx="2">
                  <c:v>33</c:v>
                </c:pt>
                <c:pt idx="3">
                  <c:v>34</c:v>
                </c:pt>
                <c:pt idx="4">
                  <c:v>35</c:v>
                </c:pt>
                <c:pt idx="5">
                  <c:v>37</c:v>
                </c:pt>
                <c:pt idx="6">
                  <c:v>31</c:v>
                </c:pt>
                <c:pt idx="7">
                  <c:v>34</c:v>
                </c:pt>
                <c:pt idx="8">
                  <c:v>35</c:v>
                </c:pt>
                <c:pt idx="9">
                  <c:v>38</c:v>
                </c:pt>
                <c:pt idx="10">
                  <c:v>36</c:v>
                </c:pt>
                <c:pt idx="11">
                  <c:v>42</c:v>
                </c:pt>
                <c:pt idx="12">
                  <c:v>43</c:v>
                </c:pt>
                <c:pt idx="13">
                  <c:v>40</c:v>
                </c:pt>
                <c:pt idx="14">
                  <c:v>43</c:v>
                </c:pt>
                <c:pt idx="15">
                  <c:v>44</c:v>
                </c:pt>
                <c:pt idx="16">
                  <c:v>49</c:v>
                </c:pt>
                <c:pt idx="17">
                  <c:v>33</c:v>
                </c:pt>
                <c:pt idx="18">
                  <c:v>50</c:v>
                </c:pt>
                <c:pt idx="19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EF-417F-9A9E-89F28B43438E}"/>
            </c:ext>
          </c:extLst>
        </c:ser>
        <c:ser>
          <c:idx val="1"/>
          <c:order val="1"/>
          <c:tx>
            <c:strRef>
              <c:f>Tabelle1!$E$1</c:f>
              <c:strCache>
                <c:ptCount val="1"/>
                <c:pt idx="0">
                  <c:v>Dauer Wochen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Tabelle1!$A$2:$C$21</c:f>
              <c:multiLvlStrCache>
                <c:ptCount val="20"/>
                <c:lvl>
                  <c:pt idx="0">
                    <c:v>Theoretische Grundlagen</c:v>
                  </c:pt>
                  <c:pt idx="1">
                    <c:v>Kristallplastizität</c:v>
                  </c:pt>
                  <c:pt idx="2">
                    <c:v>Fatigue indicator parameters</c:v>
                  </c:pt>
                  <c:pt idx="3">
                    <c:v>Lebensdauerprognose</c:v>
                  </c:pt>
                  <c:pt idx="4">
                    <c:v>Mikrostrukturgenerierung</c:v>
                  </c:pt>
                  <c:pt idx="5">
                    <c:v>Materialparameter</c:v>
                  </c:pt>
                  <c:pt idx="6">
                    <c:v>Schnittstellelle Geometriegenerieung </c:v>
                  </c:pt>
                  <c:pt idx="7">
                    <c:v>Schnittstelle Modellgenerierung</c:v>
                  </c:pt>
                  <c:pt idx="8">
                    <c:v>Schnitstelle Simulationsdurchführung</c:v>
                  </c:pt>
                  <c:pt idx="9">
                    <c:v>Schnittstelle Evaluierung</c:v>
                  </c:pt>
                  <c:pt idx="10">
                    <c:v>Studie 1 - 0 bis 25 Random</c:v>
                  </c:pt>
                  <c:pt idx="11">
                    <c:v>Studie 2 - Ferrit gegen 0</c:v>
                  </c:pt>
                  <c:pt idx="12">
                    <c:v>Studie 3 - Ausrichtung</c:v>
                  </c:pt>
                  <c:pt idx="13">
                    <c:v>Studie 1 - 0 bis 25 Random</c:v>
                  </c:pt>
                  <c:pt idx="14">
                    <c:v>Studie 2 - Ferrit gegen 0</c:v>
                  </c:pt>
                  <c:pt idx="15">
                    <c:v>Studie 3 - Ausrichtung</c:v>
                  </c:pt>
                  <c:pt idx="16">
                    <c:v>Erstellung Diagramme</c:v>
                  </c:pt>
                  <c:pt idx="17">
                    <c:v>Kapitel Grundlagen</c:v>
                  </c:pt>
                  <c:pt idx="18">
                    <c:v>Kapitel Auswertung</c:v>
                  </c:pt>
                  <c:pt idx="19">
                    <c:v>Kapitel Fazit</c:v>
                  </c:pt>
                </c:lvl>
                <c:lvl>
                  <c:pt idx="0">
                    <c:v>Literaturrecherche</c:v>
                  </c:pt>
                  <c:pt idx="6">
                    <c:v>Programmierung</c:v>
                  </c:pt>
                  <c:pt idx="10">
                    <c:v>Simulation</c:v>
                  </c:pt>
                  <c:pt idx="13">
                    <c:v>Evaluierung</c:v>
                  </c:pt>
                  <c:pt idx="16">
                    <c:v>Doku</c:v>
                  </c:pt>
                  <c:pt idx="17">
                    <c:v>Erstellung des Berichts</c:v>
                  </c:pt>
                </c:lvl>
                <c:lvl>
                  <c:pt idx="0">
                    <c:v>Einführung/Vorarbeit</c:v>
                  </c:pt>
                  <c:pt idx="10">
                    <c:v>Untersuchung</c:v>
                  </c:pt>
                  <c:pt idx="16">
                    <c:v>Ausarbeitung</c:v>
                  </c:pt>
                </c:lvl>
              </c:multiLvlStrCache>
            </c:multiLvlStrRef>
          </c:cat>
          <c:val>
            <c:numRef>
              <c:f>Tabelle1!$E$2:$E$21</c:f>
              <c:numCache>
                <c:formatCode>General</c:formatCode>
                <c:ptCount val="20"/>
                <c:pt idx="0">
                  <c:v>4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2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12</c:v>
                </c:pt>
                <c:pt idx="18">
                  <c:v>5</c:v>
                </c:pt>
                <c:pt idx="1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EF-417F-9A9E-89F28B4343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41732783"/>
        <c:axId val="746913263"/>
      </c:barChart>
      <c:catAx>
        <c:axId val="741732783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46913263"/>
        <c:crosses val="autoZero"/>
        <c:auto val="1"/>
        <c:lblAlgn val="ctr"/>
        <c:lblOffset val="100"/>
        <c:noMultiLvlLbl val="0"/>
      </c:catAx>
      <c:valAx>
        <c:axId val="746913263"/>
        <c:scaling>
          <c:orientation val="minMax"/>
          <c:max val="57"/>
          <c:min val="3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/>
                  <a:t>Kalenderwoche 2021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741732783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66676</xdr:rowOff>
    </xdr:from>
    <xdr:to>
      <xdr:col>14</xdr:col>
      <xdr:colOff>504824</xdr:colOff>
      <xdr:row>68</xdr:row>
      <xdr:rowOff>104775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F950C91B-B4E7-4F16-86DA-181E83AF7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E37E23-0F66-4AE9-85F7-29856E78FF91}">
  <dimension ref="A1:L21"/>
  <sheetViews>
    <sheetView tabSelected="1" topLeftCell="A7" zoomScaleNormal="100" workbookViewId="0">
      <selection activeCell="E12" sqref="E12"/>
    </sheetView>
  </sheetViews>
  <sheetFormatPr baseColWidth="10" defaultRowHeight="12.75" x14ac:dyDescent="0.2"/>
  <cols>
    <col min="1" max="2" width="18.28515625" customWidth="1"/>
    <col min="3" max="3" width="21.28515625" customWidth="1"/>
    <col min="11" max="11" width="20.42578125" customWidth="1"/>
  </cols>
  <sheetData>
    <row r="1" spans="1:12" x14ac:dyDescent="0.2">
      <c r="A1" t="s">
        <v>0</v>
      </c>
      <c r="B1" t="s">
        <v>5</v>
      </c>
      <c r="C1" t="s">
        <v>1</v>
      </c>
      <c r="D1" t="s">
        <v>24</v>
      </c>
      <c r="E1" t="s">
        <v>26</v>
      </c>
      <c r="F1" t="s">
        <v>25</v>
      </c>
      <c r="G1" t="s">
        <v>22</v>
      </c>
      <c r="H1" t="s">
        <v>23</v>
      </c>
      <c r="K1" t="s">
        <v>27</v>
      </c>
      <c r="L1">
        <f ca="1">WEEKNUM(TODAY())-1</f>
        <v>41</v>
      </c>
    </row>
    <row r="2" spans="1:12" x14ac:dyDescent="0.2">
      <c r="A2" s="3" t="s">
        <v>2</v>
      </c>
      <c r="B2" s="3" t="s">
        <v>3</v>
      </c>
      <c r="C2" t="s">
        <v>4</v>
      </c>
      <c r="D2">
        <v>31</v>
      </c>
      <c r="E2">
        <v>4</v>
      </c>
      <c r="F2">
        <f>D2+E2</f>
        <v>35</v>
      </c>
      <c r="G2" s="2">
        <f>DATE(2021,1,7*D2-3-WEEKDAY(DATE(2021,,),3))</f>
        <v>44410</v>
      </c>
      <c r="H2" s="1">
        <f t="shared" ref="H2:H21" si="0">G2+(E2*7)</f>
        <v>44438</v>
      </c>
    </row>
    <row r="3" spans="1:12" x14ac:dyDescent="0.2">
      <c r="A3" s="3"/>
      <c r="B3" s="3"/>
      <c r="C3" t="s">
        <v>6</v>
      </c>
      <c r="D3">
        <v>32</v>
      </c>
      <c r="E3">
        <v>1</v>
      </c>
      <c r="F3">
        <f t="shared" ref="F3:F21" si="1">D3+E3</f>
        <v>33</v>
      </c>
      <c r="G3" s="2">
        <f t="shared" ref="G3:G21" si="2">DATE(2021,1,7*D3-3-WEEKDAY(DATE(2021,,),3))</f>
        <v>44417</v>
      </c>
      <c r="H3" s="1">
        <f t="shared" si="0"/>
        <v>44424</v>
      </c>
    </row>
    <row r="4" spans="1:12" x14ac:dyDescent="0.2">
      <c r="A4" s="3"/>
      <c r="B4" s="3"/>
      <c r="C4" t="s">
        <v>7</v>
      </c>
      <c r="D4">
        <v>33</v>
      </c>
      <c r="E4">
        <v>1</v>
      </c>
      <c r="F4">
        <f t="shared" si="1"/>
        <v>34</v>
      </c>
      <c r="G4" s="2">
        <f t="shared" si="2"/>
        <v>44424</v>
      </c>
      <c r="H4" s="1">
        <f t="shared" si="0"/>
        <v>44431</v>
      </c>
    </row>
    <row r="5" spans="1:12" x14ac:dyDescent="0.2">
      <c r="A5" s="3"/>
      <c r="B5" s="3"/>
      <c r="C5" t="s">
        <v>9</v>
      </c>
      <c r="D5">
        <v>34</v>
      </c>
      <c r="E5">
        <v>1</v>
      </c>
      <c r="F5">
        <f t="shared" si="1"/>
        <v>35</v>
      </c>
      <c r="G5" s="2">
        <f t="shared" ref="G5" si="3">DATE(2021,1,7*D5-3-WEEKDAY(DATE(2021,,),3))</f>
        <v>44431</v>
      </c>
      <c r="H5" s="1">
        <f t="shared" si="0"/>
        <v>44438</v>
      </c>
    </row>
    <row r="6" spans="1:12" x14ac:dyDescent="0.2">
      <c r="A6" s="3"/>
      <c r="B6" s="3"/>
      <c r="C6" t="s">
        <v>28</v>
      </c>
      <c r="D6">
        <v>35</v>
      </c>
      <c r="E6">
        <v>1</v>
      </c>
      <c r="F6">
        <f t="shared" si="1"/>
        <v>36</v>
      </c>
      <c r="G6" s="2">
        <f>DATE(2021,1,7*D6-3-WEEKDAY(DATE(2021,,),3))</f>
        <v>44438</v>
      </c>
      <c r="H6" s="1">
        <f t="shared" si="0"/>
        <v>44445</v>
      </c>
    </row>
    <row r="7" spans="1:12" x14ac:dyDescent="0.2">
      <c r="A7" s="3"/>
      <c r="B7" s="3"/>
      <c r="C7" t="s">
        <v>8</v>
      </c>
      <c r="D7">
        <v>37</v>
      </c>
      <c r="E7">
        <v>2</v>
      </c>
      <c r="F7">
        <f t="shared" si="1"/>
        <v>39</v>
      </c>
      <c r="G7" s="2">
        <f>DATE(2021,1,7*D7-3-WEEKDAY(DATE(2021,,),3))</f>
        <v>44452</v>
      </c>
      <c r="H7" s="1">
        <f t="shared" si="0"/>
        <v>44466</v>
      </c>
    </row>
    <row r="8" spans="1:12" x14ac:dyDescent="0.2">
      <c r="A8" s="3"/>
      <c r="B8" s="3" t="s">
        <v>10</v>
      </c>
      <c r="C8" t="s">
        <v>11</v>
      </c>
      <c r="D8">
        <v>31</v>
      </c>
      <c r="E8">
        <v>3</v>
      </c>
      <c r="F8">
        <f t="shared" si="1"/>
        <v>34</v>
      </c>
      <c r="G8" s="2">
        <f t="shared" si="2"/>
        <v>44410</v>
      </c>
      <c r="H8" s="1">
        <f t="shared" si="0"/>
        <v>44431</v>
      </c>
    </row>
    <row r="9" spans="1:12" x14ac:dyDescent="0.2">
      <c r="A9" s="3"/>
      <c r="B9" s="3"/>
      <c r="C9" t="s">
        <v>12</v>
      </c>
      <c r="D9">
        <v>34</v>
      </c>
      <c r="E9">
        <v>2</v>
      </c>
      <c r="F9">
        <f t="shared" si="1"/>
        <v>36</v>
      </c>
      <c r="G9" s="2">
        <f t="shared" si="2"/>
        <v>44431</v>
      </c>
      <c r="H9" s="1">
        <f t="shared" si="0"/>
        <v>44445</v>
      </c>
    </row>
    <row r="10" spans="1:12" x14ac:dyDescent="0.2">
      <c r="A10" s="3"/>
      <c r="B10" s="3"/>
      <c r="C10" t="s">
        <v>13</v>
      </c>
      <c r="D10">
        <v>35</v>
      </c>
      <c r="E10">
        <v>2</v>
      </c>
      <c r="F10">
        <f t="shared" si="1"/>
        <v>37</v>
      </c>
      <c r="G10" s="2">
        <f t="shared" si="2"/>
        <v>44438</v>
      </c>
      <c r="H10" s="1">
        <f t="shared" si="0"/>
        <v>44452</v>
      </c>
    </row>
    <row r="11" spans="1:12" x14ac:dyDescent="0.2">
      <c r="A11" s="3"/>
      <c r="B11" s="3"/>
      <c r="C11" t="s">
        <v>34</v>
      </c>
      <c r="D11">
        <v>38</v>
      </c>
      <c r="E11">
        <v>3</v>
      </c>
      <c r="F11">
        <f t="shared" si="1"/>
        <v>41</v>
      </c>
      <c r="G11" s="2">
        <f t="shared" si="2"/>
        <v>44459</v>
      </c>
      <c r="H11" s="1">
        <f t="shared" si="0"/>
        <v>44480</v>
      </c>
    </row>
    <row r="12" spans="1:12" x14ac:dyDescent="0.2">
      <c r="A12" s="3" t="s">
        <v>14</v>
      </c>
      <c r="B12" s="3" t="s">
        <v>15</v>
      </c>
      <c r="C12" t="s">
        <v>32</v>
      </c>
      <c r="D12">
        <v>36</v>
      </c>
      <c r="E12">
        <v>4</v>
      </c>
      <c r="F12">
        <f t="shared" si="1"/>
        <v>40</v>
      </c>
      <c r="G12" s="2">
        <f t="shared" si="2"/>
        <v>44445</v>
      </c>
      <c r="H12" s="1">
        <f t="shared" si="0"/>
        <v>44473</v>
      </c>
    </row>
    <row r="13" spans="1:12" x14ac:dyDescent="0.2">
      <c r="A13" s="3"/>
      <c r="B13" s="3"/>
      <c r="C13" t="s">
        <v>31</v>
      </c>
      <c r="D13">
        <v>42</v>
      </c>
      <c r="E13">
        <v>1</v>
      </c>
      <c r="F13">
        <f t="shared" si="1"/>
        <v>43</v>
      </c>
      <c r="G13" s="2">
        <f t="shared" si="2"/>
        <v>44487</v>
      </c>
      <c r="H13" s="1">
        <f t="shared" si="0"/>
        <v>44494</v>
      </c>
    </row>
    <row r="14" spans="1:12" x14ac:dyDescent="0.2">
      <c r="A14" s="3"/>
      <c r="B14" s="3"/>
      <c r="C14" t="s">
        <v>33</v>
      </c>
      <c r="D14">
        <v>43</v>
      </c>
      <c r="E14">
        <v>1</v>
      </c>
      <c r="F14">
        <f t="shared" si="1"/>
        <v>44</v>
      </c>
      <c r="G14" s="2">
        <f t="shared" si="2"/>
        <v>44494</v>
      </c>
      <c r="H14" s="1">
        <f t="shared" si="0"/>
        <v>44501</v>
      </c>
    </row>
    <row r="15" spans="1:12" x14ac:dyDescent="0.2">
      <c r="A15" s="3"/>
      <c r="B15" s="3" t="s">
        <v>30</v>
      </c>
      <c r="C15" t="s">
        <v>32</v>
      </c>
      <c r="D15">
        <v>40</v>
      </c>
      <c r="E15">
        <v>2</v>
      </c>
      <c r="F15">
        <f t="shared" si="1"/>
        <v>42</v>
      </c>
      <c r="G15" s="2">
        <f t="shared" si="2"/>
        <v>44473</v>
      </c>
      <c r="H15" s="1">
        <f t="shared" si="0"/>
        <v>44487</v>
      </c>
    </row>
    <row r="16" spans="1:12" x14ac:dyDescent="0.2">
      <c r="A16" s="3"/>
      <c r="B16" s="3"/>
      <c r="C16" t="s">
        <v>31</v>
      </c>
      <c r="D16">
        <v>43</v>
      </c>
      <c r="E16">
        <v>1</v>
      </c>
      <c r="F16">
        <f t="shared" si="1"/>
        <v>44</v>
      </c>
      <c r="G16" s="2">
        <f t="shared" si="2"/>
        <v>44494</v>
      </c>
      <c r="H16" s="1">
        <f t="shared" si="0"/>
        <v>44501</v>
      </c>
    </row>
    <row r="17" spans="1:8" x14ac:dyDescent="0.2">
      <c r="A17" s="3"/>
      <c r="B17" s="3"/>
      <c r="C17" t="s">
        <v>33</v>
      </c>
      <c r="D17">
        <v>44</v>
      </c>
      <c r="E17">
        <v>1</v>
      </c>
      <c r="F17">
        <f t="shared" si="1"/>
        <v>45</v>
      </c>
      <c r="G17" s="2">
        <f t="shared" si="2"/>
        <v>44501</v>
      </c>
      <c r="H17" s="1">
        <f t="shared" si="0"/>
        <v>44508</v>
      </c>
    </row>
    <row r="18" spans="1:8" x14ac:dyDescent="0.2">
      <c r="A18" s="3" t="s">
        <v>16</v>
      </c>
      <c r="B18" t="s">
        <v>29</v>
      </c>
      <c r="C18" t="s">
        <v>18</v>
      </c>
      <c r="D18">
        <v>49</v>
      </c>
      <c r="E18">
        <v>1</v>
      </c>
      <c r="F18">
        <f t="shared" si="1"/>
        <v>50</v>
      </c>
      <c r="G18" s="2">
        <f t="shared" si="2"/>
        <v>44536</v>
      </c>
      <c r="H18" s="1">
        <f t="shared" si="0"/>
        <v>44543</v>
      </c>
    </row>
    <row r="19" spans="1:8" x14ac:dyDescent="0.2">
      <c r="A19" s="3"/>
      <c r="B19" s="3" t="s">
        <v>17</v>
      </c>
      <c r="C19" t="s">
        <v>19</v>
      </c>
      <c r="D19">
        <v>33</v>
      </c>
      <c r="E19">
        <v>12</v>
      </c>
      <c r="F19">
        <f t="shared" si="1"/>
        <v>45</v>
      </c>
      <c r="G19" s="2">
        <f t="shared" si="2"/>
        <v>44424</v>
      </c>
      <c r="H19" s="1">
        <f t="shared" si="0"/>
        <v>44508</v>
      </c>
    </row>
    <row r="20" spans="1:8" x14ac:dyDescent="0.2">
      <c r="A20" s="3"/>
      <c r="B20" s="3"/>
      <c r="C20" t="s">
        <v>20</v>
      </c>
      <c r="D20">
        <v>50</v>
      </c>
      <c r="E20">
        <v>5</v>
      </c>
      <c r="F20">
        <f t="shared" si="1"/>
        <v>55</v>
      </c>
      <c r="G20" s="2">
        <f t="shared" si="2"/>
        <v>44543</v>
      </c>
      <c r="H20" s="1">
        <f t="shared" si="0"/>
        <v>44578</v>
      </c>
    </row>
    <row r="21" spans="1:8" x14ac:dyDescent="0.2">
      <c r="A21" s="3"/>
      <c r="B21" s="3"/>
      <c r="C21" t="s">
        <v>21</v>
      </c>
      <c r="D21">
        <v>54</v>
      </c>
      <c r="E21">
        <v>2</v>
      </c>
      <c r="F21">
        <f t="shared" si="1"/>
        <v>56</v>
      </c>
      <c r="G21" s="2">
        <f t="shared" si="2"/>
        <v>44571</v>
      </c>
      <c r="H21" s="1">
        <f t="shared" si="0"/>
        <v>44585</v>
      </c>
    </row>
  </sheetData>
  <mergeCells count="8">
    <mergeCell ref="B19:B21"/>
    <mergeCell ref="A18:A21"/>
    <mergeCell ref="B2:B7"/>
    <mergeCell ref="B12:B14"/>
    <mergeCell ref="A12:A17"/>
    <mergeCell ref="B15:B17"/>
    <mergeCell ref="B8:B11"/>
    <mergeCell ref="A2:A11"/>
  </mergeCells>
  <pageMargins left="0.7" right="0.7" top="0.78740157499999996" bottom="0.78740157499999996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Hofmann Roman (CR/AMP3)</dc:creator>
  <cp:lastModifiedBy>FIXED-TERM Hofmann Roman (CR/AMP3)</cp:lastModifiedBy>
  <dcterms:created xsi:type="dcterms:W3CDTF">2021-08-31T09:47:36Z</dcterms:created>
  <dcterms:modified xsi:type="dcterms:W3CDTF">2021-10-11T11:57:06Z</dcterms:modified>
</cp:coreProperties>
</file>